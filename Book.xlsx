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6F57B9B9-A7A3-43C7-AD88-64EF32593C31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Planilha1" sheetId="1" r:id="rId1"/>
    <sheet name="Planilha2" sheetId="2" r:id="rId2"/>
  </sheets>
  <definedNames>
    <definedName name="Aporte">Planilha1!$D$18:$D$18</definedName>
    <definedName name="Patrimonio">Planilha1!$D$21:$D$21</definedName>
    <definedName name="Qtd_anos">Planilha1!$D$19:$D$19</definedName>
    <definedName name="Rendimento_carteira">Planilha1!$D$14:$D$14</definedName>
    <definedName name="salario">Planilha1!$D$13:$D$13</definedName>
    <definedName name="sugestao_investimento">Planilha1!$D$15:$D$15</definedName>
    <definedName name="Taxa_mensal">Planilha1!$D$20:$D$20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35" i="1"/>
  <c r="D36" i="1"/>
  <c r="D37" i="1"/>
  <c r="D38" i="1"/>
  <c r="D39" i="1"/>
  <c r="D34" i="1"/>
  <c r="J5" i="2"/>
  <c r="A15" i="2"/>
  <c r="A16" i="2"/>
  <c r="A17" i="2"/>
  <c r="A18" i="2"/>
  <c r="A19" i="2"/>
  <c r="A20" i="2"/>
  <c r="A9" i="2"/>
  <c r="A10" i="2"/>
  <c r="A11" i="2"/>
  <c r="A12" i="2"/>
  <c r="A13" i="2"/>
  <c r="A14" i="2"/>
  <c r="A4" i="2"/>
  <c r="A5" i="2"/>
  <c r="A6" i="2"/>
  <c r="A7" i="2"/>
  <c r="A8" i="2"/>
  <c r="A3" i="2"/>
  <c r="D31" i="1" a="1"/>
  <c r="D31" i="1"/>
  <c r="D25" i="1"/>
  <c r="D21" i="1" a="1"/>
  <c r="D21" i="1"/>
  <c r="D22" i="1" s="1" a="1"/>
  <c r="D22" i="1" s="1"/>
  <c r="D26" i="1"/>
  <c r="E26" i="1" s="1"/>
  <c r="D27" i="1"/>
  <c r="E27" i="1" s="1"/>
  <c r="D28" i="1"/>
  <c r="E28" i="1" s="1"/>
  <c r="E25" i="1"/>
  <c r="E34" i="1" l="1"/>
  <c r="E35" i="1"/>
  <c r="E36" i="1"/>
  <c r="E37" i="1"/>
  <c r="E38" i="1"/>
  <c r="E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<sst xmlns="http://schemas.openxmlformats.org/spreadsheetml/2006/main" count="69" uniqueCount="34">
  <si>
    <t>CONFIGURAÇÕES</t>
  </si>
  <si>
    <t>Salário</t>
  </si>
  <si>
    <t>Rendimento da carteira</t>
  </si>
  <si>
    <t>Sugestão de investimento</t>
  </si>
  <si>
    <t xml:space="preserve">INVESTIMENTO MENSAL </t>
  </si>
  <si>
    <t xml:space="preserve">Quanto investir por mês? </t>
  </si>
  <si>
    <t>Por quantos anos?</t>
  </si>
  <si>
    <t xml:space="preserve">Taxa de rendimento mensal? </t>
  </si>
  <si>
    <t xml:space="preserve">Patrimônio acumulado? </t>
  </si>
  <si>
    <t xml:space="preserve">Dividendos mensais? </t>
  </si>
  <si>
    <t>CENÁRIOS</t>
  </si>
  <si>
    <t xml:space="preserve">Dividendo </t>
  </si>
  <si>
    <t>Quanto em 2 anos?</t>
  </si>
  <si>
    <t>Quanto em 5 anos?</t>
  </si>
  <si>
    <t xml:space="preserve">Quanto em 10 anos? </t>
  </si>
  <si>
    <t xml:space="preserve">Quanto em 30 anos? </t>
  </si>
  <si>
    <t xml:space="preserve">PERFIL </t>
  </si>
  <si>
    <t>Conservador</t>
  </si>
  <si>
    <t>VALOR A SER INVESTIDO POR MÊS</t>
  </si>
  <si>
    <t xml:space="preserve">TIPO DE FII </t>
  </si>
  <si>
    <t xml:space="preserve">Percentual Sugerido </t>
  </si>
  <si>
    <t xml:space="preserve">Valores </t>
  </si>
  <si>
    <t xml:space="preserve">PAPEL </t>
  </si>
  <si>
    <t xml:space="preserve">TIJOLO </t>
  </si>
  <si>
    <t xml:space="preserve">HÍBRIDO </t>
  </si>
  <si>
    <t>FOFs</t>
  </si>
  <si>
    <t xml:space="preserve">DESENVOLVIMENTO </t>
  </si>
  <si>
    <t xml:space="preserve">HOTELARIAS </t>
  </si>
  <si>
    <t xml:space="preserve">Chave </t>
  </si>
  <si>
    <t xml:space="preserve">Perfil </t>
  </si>
  <si>
    <t>%</t>
  </si>
  <si>
    <t xml:space="preserve">Moderado-TIJOLO 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</si>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</sst>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Segoe UI"/>
    </font>
    <font>
      <b/>
      <sz val="12"/>
      <color theme="1"/>
      <name val="Segoe UI"/>
    </font>
    <font>
      <b/>
      <sz val="13"/>
      <color theme="0"/>
      <name val="Segoe UI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theme="1" tint="0.499984740745262"/>
      </left>
      <right style="medium">
        <color rgb="FF000000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theme="2" tint="-0.249977111117893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2" tint="-0.249977111117893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theme="2" tint="-0.249977111117893"/>
      </bottom>
      <diagonal/>
    </border>
    <border>
      <left/>
      <right/>
      <top style="medium">
        <color rgb="FF000000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medium">
        <color rgb="FF000000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 style="medium">
        <color rgb="FF000000"/>
      </bottom>
      <diagonal/>
    </border>
    <border>
      <left style="thin">
        <color theme="2" tint="-0.249977111117893"/>
      </left>
      <right style="medium">
        <color rgb="FF000000"/>
      </right>
      <top/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0" borderId="0" xfId="0" applyFont="1"/>
    <xf numFmtId="0" fontId="3" fillId="0" borderId="0" xfId="0" applyFont="1" applyFill="1" applyBorder="1" applyAlignment="1"/>
    <xf numFmtId="8" fontId="1" fillId="0" borderId="0" xfId="0" applyNumberFormat="1" applyFont="1" applyFill="1" applyBorder="1" applyAlignment="1">
      <alignment horizontal="center"/>
    </xf>
    <xf numFmtId="164" fontId="4" fillId="0" borderId="10" xfId="0" applyNumberFormat="1" applyFont="1" applyFill="1" applyBorder="1" applyAlignment="1">
      <alignment horizontal="left" indent="3"/>
    </xf>
    <xf numFmtId="164" fontId="4" fillId="0" borderId="16" xfId="0" applyNumberFormat="1" applyFont="1" applyFill="1" applyBorder="1" applyAlignment="1">
      <alignment horizontal="center"/>
    </xf>
    <xf numFmtId="164" fontId="4" fillId="0" borderId="17" xfId="0" applyNumberFormat="1" applyFont="1" applyFill="1" applyBorder="1" applyAlignment="1">
      <alignment horizontal="left" indent="3"/>
    </xf>
    <xf numFmtId="9" fontId="4" fillId="0" borderId="20" xfId="0" applyNumberFormat="1" applyFont="1" applyFill="1" applyBorder="1" applyAlignment="1">
      <alignment horizontal="center"/>
    </xf>
    <xf numFmtId="164" fontId="4" fillId="0" borderId="21" xfId="0" applyNumberFormat="1" applyFont="1" applyFill="1" applyBorder="1" applyAlignment="1">
      <alignment horizontal="left" indent="3"/>
    </xf>
    <xf numFmtId="164" fontId="4" fillId="0" borderId="19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left" indent="3"/>
    </xf>
    <xf numFmtId="16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left" indent="3"/>
    </xf>
    <xf numFmtId="10" fontId="4" fillId="0" borderId="9" xfId="0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left" indent="3"/>
    </xf>
    <xf numFmtId="8" fontId="5" fillId="3" borderId="11" xfId="0" applyNumberFormat="1" applyFont="1" applyFill="1" applyBorder="1" applyAlignment="1">
      <alignment horizontal="center"/>
    </xf>
    <xf numFmtId="0" fontId="5" fillId="3" borderId="12" xfId="0" applyFont="1" applyFill="1" applyBorder="1" applyAlignment="1">
      <alignment horizontal="left" indent="3"/>
    </xf>
    <xf numFmtId="8" fontId="5" fillId="3" borderId="13" xfId="0" applyNumberFormat="1" applyFont="1" applyFill="1" applyBorder="1" applyAlignment="1">
      <alignment horizontal="center"/>
    </xf>
    <xf numFmtId="0" fontId="4" fillId="0" borderId="10" xfId="0" applyFont="1" applyFill="1" applyBorder="1" applyAlignment="1">
      <alignment horizontal="left" wrapText="1" indent="3"/>
    </xf>
    <xf numFmtId="164" fontId="4" fillId="0" borderId="3" xfId="0" applyNumberFormat="1" applyFont="1" applyFill="1" applyBorder="1" applyAlignment="1">
      <alignment horizontal="center"/>
    </xf>
    <xf numFmtId="0" fontId="4" fillId="0" borderId="17" xfId="0" applyFont="1" applyFill="1" applyBorder="1" applyAlignment="1">
      <alignment horizontal="left" wrapText="1" indent="3"/>
    </xf>
    <xf numFmtId="164" fontId="4" fillId="0" borderId="4" xfId="0" applyNumberFormat="1" applyFont="1" applyFill="1" applyBorder="1" applyAlignment="1">
      <alignment horizontal="center"/>
    </xf>
    <xf numFmtId="0" fontId="4" fillId="0" borderId="12" xfId="0" applyFont="1" applyFill="1" applyBorder="1" applyAlignment="1">
      <alignment horizontal="left" wrapText="1" indent="3"/>
    </xf>
    <xf numFmtId="164" fontId="4" fillId="0" borderId="18" xfId="0" applyNumberFormat="1" applyFont="1" applyFill="1" applyBorder="1" applyAlignment="1">
      <alignment horizontal="center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wrapText="1"/>
    </xf>
    <xf numFmtId="9" fontId="0" fillId="0" borderId="0" xfId="0" applyNumberFormat="1"/>
    <xf numFmtId="164" fontId="0" fillId="0" borderId="0" xfId="0" applyNumberFormat="1"/>
    <xf numFmtId="0" fontId="1" fillId="6" borderId="0" xfId="0" applyFont="1" applyFill="1"/>
    <xf numFmtId="164" fontId="1" fillId="6" borderId="0" xfId="0" applyNumberFormat="1" applyFont="1" applyFill="1" applyAlignment="1">
      <alignment horizontal="center"/>
    </xf>
    <xf numFmtId="0" fontId="0" fillId="6" borderId="0" xfId="0" applyFill="1"/>
    <xf numFmtId="9" fontId="0" fillId="0" borderId="0" xfId="0" applyNumberFormat="1" applyAlignment="1">
      <alignment horizontal="center"/>
    </xf>
    <xf numFmtId="0" fontId="0" fillId="0" borderId="2" xfId="0" applyBorder="1"/>
    <xf numFmtId="0" fontId="0" fillId="0" borderId="24" xfId="0" applyBorder="1"/>
    <xf numFmtId="0" fontId="0" fillId="0" borderId="1" xfId="0" applyBorder="1"/>
    <xf numFmtId="0" fontId="0" fillId="0" borderId="25" xfId="0" applyBorder="1"/>
    <xf numFmtId="0" fontId="0" fillId="0" borderId="0" xfId="0" applyBorder="1"/>
    <xf numFmtId="0" fontId="0" fillId="0" borderId="1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9" fontId="0" fillId="0" borderId="24" xfId="0" applyNumberFormat="1" applyBorder="1"/>
    <xf numFmtId="9" fontId="0" fillId="0" borderId="0" xfId="0" applyNumberFormat="1" applyBorder="1"/>
    <xf numFmtId="9" fontId="0" fillId="0" borderId="27" xfId="0" applyNumberFormat="1" applyBorder="1"/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10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5</xdr:col>
      <xdr:colOff>171450</xdr:colOff>
      <xdr:row>10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720BE15-1AE0-8952-B028-AF8E9CB5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7610475" cy="1800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E39"/>
  <sheetViews>
    <sheetView tabSelected="1" topLeftCell="B16" workbookViewId="0">
      <selection activeCell="D30" sqref="D30"/>
    </sheetView>
  </sheetViews>
  <sheetFormatPr defaultRowHeight="15"/>
  <cols>
    <col min="1" max="1" width="3" hidden="1" customWidth="1"/>
    <col min="2" max="2" width="3" customWidth="1"/>
    <col min="3" max="3" width="56" customWidth="1"/>
    <col min="4" max="4" width="34.28515625" customWidth="1"/>
    <col min="5" max="5" width="18.28515625" customWidth="1"/>
    <col min="6" max="6" width="25.85546875" bestFit="1" customWidth="1"/>
    <col min="7" max="7" width="12.85546875" bestFit="1" customWidth="1"/>
  </cols>
  <sheetData>
    <row r="12" spans="3:4" ht="18.75">
      <c r="C12" s="49" t="s">
        <v>0</v>
      </c>
      <c r="D12" s="50"/>
    </row>
    <row r="13" spans="3:4" ht="17.25">
      <c r="C13" s="5" t="s">
        <v>1</v>
      </c>
      <c r="D13" s="6">
        <v>4200</v>
      </c>
    </row>
    <row r="14" spans="3:4" ht="17.25">
      <c r="C14" s="7" t="s">
        <v>2</v>
      </c>
      <c r="D14" s="8">
        <v>8.8999999999999999E-3</v>
      </c>
    </row>
    <row r="15" spans="3:4" ht="17.25">
      <c r="C15" s="9" t="s">
        <v>3</v>
      </c>
      <c r="D15" s="10">
        <f>D13*30%</f>
        <v>1260</v>
      </c>
    </row>
    <row r="16" spans="3:4" ht="18" customHeight="1"/>
    <row r="17" spans="1:5" ht="18.75">
      <c r="C17" s="51" t="s">
        <v>4</v>
      </c>
      <c r="D17" s="52"/>
    </row>
    <row r="18" spans="1:5" ht="17.25">
      <c r="C18" s="11" t="s">
        <v>5</v>
      </c>
      <c r="D18" s="12">
        <v>1260</v>
      </c>
    </row>
    <row r="19" spans="1:5" ht="17.25">
      <c r="C19" s="11" t="s">
        <v>6</v>
      </c>
      <c r="D19" s="13">
        <v>10</v>
      </c>
    </row>
    <row r="20" spans="1:5" ht="17.25">
      <c r="C20" s="14" t="s">
        <v>7</v>
      </c>
      <c r="D20" s="15">
        <v>1.0789999999999999E-2</v>
      </c>
    </row>
    <row r="21" spans="1:5" ht="17.25">
      <c r="C21" s="16" t="s">
        <v>8</v>
      </c>
      <c r="D21" s="17" cm="1">
        <f t="array" ref="D21">FV(Taxa_mensal,Qtd_anos*12,Aporte*-1)</f>
        <v>306538.10778801696</v>
      </c>
      <c r="E21" s="2"/>
    </row>
    <row r="22" spans="1:5" ht="17.25">
      <c r="C22" s="18" t="s">
        <v>9</v>
      </c>
      <c r="D22" s="19" cm="1">
        <f t="array" ref="D22">Patrimonio*Rendimento_carteira</f>
        <v>2728.189159313351</v>
      </c>
    </row>
    <row r="23" spans="1:5" ht="17.25">
      <c r="C23" s="3"/>
      <c r="D23" s="4"/>
    </row>
    <row r="24" spans="1:5" ht="18.75">
      <c r="C24" s="47" t="s">
        <v>10</v>
      </c>
      <c r="D24" s="48"/>
      <c r="E24" s="1" t="s">
        <v>11</v>
      </c>
    </row>
    <row r="25" spans="1:5" ht="17.25">
      <c r="A25">
        <v>2</v>
      </c>
      <c r="C25" s="20" t="s">
        <v>12</v>
      </c>
      <c r="D25" s="21">
        <f>FV($D$20,$A25*12,$D$18*-1)</f>
        <v>34306.810395032975</v>
      </c>
      <c r="E25" s="6">
        <f>D25*$D$14</f>
        <v>305.33061251579346</v>
      </c>
    </row>
    <row r="26" spans="1:5" ht="17.25">
      <c r="A26">
        <v>5</v>
      </c>
      <c r="C26" s="22" t="s">
        <v>13</v>
      </c>
      <c r="D26" s="23">
        <f t="shared" ref="D26:D28" si="0">FV($D$20,$A26*12,$D$18*-1)</f>
        <v>105558.91163809443</v>
      </c>
      <c r="E26" s="6">
        <f>D26*$D$14</f>
        <v>939.47431357904043</v>
      </c>
    </row>
    <row r="27" spans="1:5" ht="17.25">
      <c r="A27">
        <v>10</v>
      </c>
      <c r="C27" s="20" t="s">
        <v>14</v>
      </c>
      <c r="D27" s="21">
        <f t="shared" si="0"/>
        <v>306538.10778801696</v>
      </c>
      <c r="E27" s="6">
        <f>D27*$D$14</f>
        <v>2728.189159313351</v>
      </c>
    </row>
    <row r="28" spans="1:5" ht="17.25">
      <c r="A28">
        <v>30</v>
      </c>
      <c r="C28" s="24" t="s">
        <v>15</v>
      </c>
      <c r="D28" s="25">
        <f t="shared" si="0"/>
        <v>5445933.7653059401</v>
      </c>
      <c r="E28" s="10">
        <f>D28*$D$14</f>
        <v>48468.810511222866</v>
      </c>
    </row>
    <row r="30" spans="1:5" ht="17.25">
      <c r="C30" s="27" t="s">
        <v>16</v>
      </c>
      <c r="D30" s="28" t="s">
        <v>17</v>
      </c>
      <c r="E30" s="26"/>
    </row>
    <row r="31" spans="1:5">
      <c r="C31" s="31" t="s">
        <v>18</v>
      </c>
      <c r="D31" s="32" cm="1">
        <f t="array" ref="D31">Aporte</f>
        <v>1260</v>
      </c>
      <c r="E31" s="33"/>
    </row>
    <row r="33" spans="3:5">
      <c r="C33" s="31" t="s">
        <v>19</v>
      </c>
      <c r="D33" s="31" t="s">
        <v>20</v>
      </c>
      <c r="E33" s="31" t="s">
        <v>21</v>
      </c>
    </row>
    <row r="34" spans="3:5">
      <c r="C34" t="s">
        <v>22</v>
      </c>
      <c r="D34" s="34">
        <f>VLOOKUP($D$30&amp;"-"&amp;C34,Planilha2!$A:$D,4,FALSE)</f>
        <v>0.3</v>
      </c>
      <c r="E34" s="30">
        <f>D34*$D$31</f>
        <v>378</v>
      </c>
    </row>
    <row r="35" spans="3:5">
      <c r="C35" t="s">
        <v>23</v>
      </c>
      <c r="D35" s="34">
        <f>VLOOKUP($D$30&amp;"-"&amp;C35,Planilha2!$A:$D,4,FALSE)</f>
        <v>0.5</v>
      </c>
      <c r="E35" s="30">
        <f t="shared" ref="E35:E39" si="1">D35*$D$31</f>
        <v>630</v>
      </c>
    </row>
    <row r="36" spans="3:5">
      <c r="C36" t="s">
        <v>24</v>
      </c>
      <c r="D36" s="34">
        <f>VLOOKUP($D$30&amp;"-"&amp;C36,Planilha2!$A:$D,4,FALSE)</f>
        <v>0.1</v>
      </c>
      <c r="E36" s="30">
        <f t="shared" si="1"/>
        <v>126</v>
      </c>
    </row>
    <row r="37" spans="3:5">
      <c r="C37" t="s">
        <v>25</v>
      </c>
      <c r="D37" s="34">
        <f>VLOOKUP($D$30&amp;"-"&amp;C37,Planilha2!$A:$D,4,FALSE)</f>
        <v>0.1</v>
      </c>
      <c r="E37" s="30">
        <f t="shared" si="1"/>
        <v>126</v>
      </c>
    </row>
    <row r="38" spans="3:5">
      <c r="C38" t="s">
        <v>26</v>
      </c>
      <c r="D38" s="34">
        <f>VLOOKUP($D$30&amp;"-"&amp;C38,Planilha2!$A:$D,4,FALSE)</f>
        <v>0</v>
      </c>
      <c r="E38" s="30">
        <f t="shared" si="1"/>
        <v>0</v>
      </c>
    </row>
    <row r="39" spans="3:5">
      <c r="C39" t="s">
        <v>27</v>
      </c>
      <c r="D39" s="34">
        <f>VLOOKUP($D$30&amp;"-"&amp;C39,Planilha2!$A:$D,4,FALSE)</f>
        <v>0</v>
      </c>
      <c r="E39" s="30">
        <f t="shared" si="1"/>
        <v>0</v>
      </c>
    </row>
  </sheetData>
  <mergeCells count="3">
    <mergeCell ref="C24:D24"/>
    <mergeCell ref="C12:D12"/>
    <mergeCell ref="C17:D17"/>
  </mergeCells>
  <dataValidations count="1">
    <dataValidation type="list" allowBlank="1" showInputMessage="1" showErrorMessage="1" sqref="D30" xr:uid="{D81A1034-88F0-497D-955B-E1A6721FFFB6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416E-BC13-424B-9D66-5847A2B062FE}">
  <dimension ref="A2:J20"/>
  <sheetViews>
    <sheetView workbookViewId="0">
      <selection activeCell="J6" sqref="J6"/>
    </sheetView>
  </sheetViews>
  <sheetFormatPr defaultRowHeight="15"/>
  <cols>
    <col min="1" max="1" width="18.42578125" bestFit="1" customWidth="1"/>
    <col min="2" max="2" width="19.140625" customWidth="1"/>
    <col min="3" max="3" width="20.5703125" customWidth="1"/>
    <col min="9" max="9" width="17" customWidth="1"/>
  </cols>
  <sheetData>
    <row r="2" spans="1:10">
      <c r="A2" t="s">
        <v>28</v>
      </c>
      <c r="B2" t="s">
        <v>29</v>
      </c>
      <c r="C2" s="31" t="s">
        <v>19</v>
      </c>
    </row>
    <row r="3" spans="1:10">
      <c r="A3" t="str">
        <f>B3&amp;"-"&amp;C3</f>
        <v xml:space="preserve">Conservador-PAPEL </v>
      </c>
      <c r="B3" t="s">
        <v>17</v>
      </c>
      <c r="C3" t="s">
        <v>22</v>
      </c>
      <c r="D3" s="34">
        <v>0.3</v>
      </c>
    </row>
    <row r="4" spans="1:10">
      <c r="A4" t="str">
        <f t="shared" ref="A4:A20" si="0">B4&amp;"-"&amp;C4</f>
        <v xml:space="preserve">Conservador-TIJOLO </v>
      </c>
      <c r="B4" t="s">
        <v>17</v>
      </c>
      <c r="C4" t="s">
        <v>23</v>
      </c>
      <c r="D4" s="34">
        <v>0.5</v>
      </c>
      <c r="J4" t="s">
        <v>30</v>
      </c>
    </row>
    <row r="5" spans="1:10">
      <c r="A5" t="str">
        <f t="shared" si="0"/>
        <v xml:space="preserve">Conservador-HÍBRIDO </v>
      </c>
      <c r="B5" t="s">
        <v>17</v>
      </c>
      <c r="C5" t="s">
        <v>24</v>
      </c>
      <c r="D5" s="34">
        <v>0.1</v>
      </c>
      <c r="I5" s="53" t="s">
        <v>31</v>
      </c>
      <c r="J5" s="54">
        <f>VLOOKUP(I5,$A:$D,4,FALSE)</f>
        <v>0.4</v>
      </c>
    </row>
    <row r="6" spans="1:10">
      <c r="A6" t="str">
        <f t="shared" si="0"/>
        <v>Conservador-FOFs</v>
      </c>
      <c r="B6" t="s">
        <v>17</v>
      </c>
      <c r="C6" t="s">
        <v>25</v>
      </c>
      <c r="D6" s="34">
        <v>0.1</v>
      </c>
    </row>
    <row r="7" spans="1:10">
      <c r="A7" t="str">
        <f t="shared" si="0"/>
        <v xml:space="preserve">Conservador-DESENVOLVIMENTO </v>
      </c>
      <c r="B7" t="s">
        <v>17</v>
      </c>
      <c r="C7" t="s">
        <v>26</v>
      </c>
      <c r="D7" s="34">
        <v>0</v>
      </c>
    </row>
    <row r="8" spans="1:10">
      <c r="A8" t="str">
        <f t="shared" si="0"/>
        <v xml:space="preserve">Conservador-HOTELARIAS </v>
      </c>
      <c r="B8" t="s">
        <v>17</v>
      </c>
      <c r="C8" t="s">
        <v>27</v>
      </c>
      <c r="D8" s="34">
        <v>0</v>
      </c>
    </row>
    <row r="9" spans="1:10">
      <c r="A9" s="35" t="str">
        <f t="shared" si="0"/>
        <v xml:space="preserve">Moderado-PAPEL </v>
      </c>
      <c r="B9" s="36" t="s">
        <v>32</v>
      </c>
      <c r="C9" s="36" t="s">
        <v>22</v>
      </c>
      <c r="D9" s="44">
        <v>0.32</v>
      </c>
      <c r="E9" s="37"/>
    </row>
    <row r="10" spans="1:10">
      <c r="A10" s="38" t="str">
        <f t="shared" si="0"/>
        <v xml:space="preserve">Moderado-TIJOLO </v>
      </c>
      <c r="B10" s="39" t="s">
        <v>32</v>
      </c>
      <c r="C10" s="39" t="s">
        <v>23</v>
      </c>
      <c r="D10" s="45">
        <v>0.4</v>
      </c>
      <c r="E10" s="40"/>
    </row>
    <row r="11" spans="1:10">
      <c r="A11" s="38" t="str">
        <f t="shared" si="0"/>
        <v xml:space="preserve">Moderado-HÍBRIDO </v>
      </c>
      <c r="B11" s="39" t="s">
        <v>32</v>
      </c>
      <c r="C11" s="39" t="s">
        <v>24</v>
      </c>
      <c r="D11" s="45">
        <v>0.08</v>
      </c>
      <c r="E11" s="40"/>
    </row>
    <row r="12" spans="1:10">
      <c r="A12" s="38" t="str">
        <f t="shared" si="0"/>
        <v>Moderado-FOFs</v>
      </c>
      <c r="B12" s="39" t="s">
        <v>32</v>
      </c>
      <c r="C12" s="39" t="s">
        <v>25</v>
      </c>
      <c r="D12" s="45">
        <v>0.1</v>
      </c>
      <c r="E12" s="40"/>
    </row>
    <row r="13" spans="1:10">
      <c r="A13" s="38" t="str">
        <f t="shared" si="0"/>
        <v xml:space="preserve">Moderado-DESENVOLVIMENTO </v>
      </c>
      <c r="B13" s="39" t="s">
        <v>32</v>
      </c>
      <c r="C13" s="39" t="s">
        <v>26</v>
      </c>
      <c r="D13" s="45">
        <v>0.1</v>
      </c>
      <c r="E13" s="40"/>
    </row>
    <row r="14" spans="1:10">
      <c r="A14" s="41" t="str">
        <f t="shared" si="0"/>
        <v xml:space="preserve">Moderado-HOTELARIAS </v>
      </c>
      <c r="B14" s="42" t="s">
        <v>32</v>
      </c>
      <c r="C14" s="42" t="s">
        <v>27</v>
      </c>
      <c r="D14" s="46">
        <v>0.1</v>
      </c>
      <c r="E14" s="43"/>
    </row>
    <row r="15" spans="1:10">
      <c r="A15" t="str">
        <f t="shared" si="0"/>
        <v xml:space="preserve">Agressivo-PAPEL </v>
      </c>
      <c r="B15" t="s">
        <v>33</v>
      </c>
      <c r="C15" t="s">
        <v>22</v>
      </c>
      <c r="D15" s="29">
        <v>0.5</v>
      </c>
    </row>
    <row r="16" spans="1:10">
      <c r="A16" t="str">
        <f t="shared" si="0"/>
        <v xml:space="preserve">Agressivo-TIJOLO </v>
      </c>
      <c r="B16" t="s">
        <v>33</v>
      </c>
      <c r="C16" t="s">
        <v>23</v>
      </c>
      <c r="D16" s="29">
        <v>0.1</v>
      </c>
    </row>
    <row r="17" spans="1:4">
      <c r="A17" t="str">
        <f t="shared" si="0"/>
        <v xml:space="preserve">Agressivo-HÍBRIDO </v>
      </c>
      <c r="B17" t="s">
        <v>33</v>
      </c>
      <c r="C17" t="s">
        <v>24</v>
      </c>
      <c r="D17" s="29">
        <v>0.05</v>
      </c>
    </row>
    <row r="18" spans="1:4">
      <c r="A18" t="str">
        <f t="shared" si="0"/>
        <v>Agressivo-FOFs</v>
      </c>
      <c r="B18" t="s">
        <v>33</v>
      </c>
      <c r="C18" t="s">
        <v>25</v>
      </c>
      <c r="D18" s="29">
        <v>0.05</v>
      </c>
    </row>
    <row r="19" spans="1:4">
      <c r="A19" t="str">
        <f t="shared" si="0"/>
        <v xml:space="preserve">Agressivo-DESENVOLVIMENTO </v>
      </c>
      <c r="B19" t="s">
        <v>33</v>
      </c>
      <c r="C19" t="s">
        <v>26</v>
      </c>
      <c r="D19" s="29">
        <v>0.2</v>
      </c>
    </row>
    <row r="20" spans="1:4">
      <c r="A20" t="str">
        <f t="shared" si="0"/>
        <v xml:space="preserve">Agressivo-HOTELARIAS </v>
      </c>
      <c r="B20" t="s">
        <v>33</v>
      </c>
      <c r="C20" t="s">
        <v>27</v>
      </c>
      <c r="D20" s="2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2026-01-31T22:51:57Z</dcterms:created>
  <dcterms:modified xsi:type="dcterms:W3CDTF">2026-02-08T23:59:13Z</dcterms:modified>
  <cp:category/>
  <cp:contentStatus/>
</cp:coreProperties>
</file>